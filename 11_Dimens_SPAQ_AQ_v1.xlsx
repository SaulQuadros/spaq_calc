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1995738984c8636/Pessoal/Z_Saul/Academico/Z_Outros/Aulas_Univertix/Disc/02_InstHidrSan/Aula/Aulas/Agua Quente/"/>
    </mc:Choice>
  </mc:AlternateContent>
  <xr:revisionPtr revIDLastSave="5" documentId="13_ncr:1_{3469AA05-7E98-4023-96D3-CCC94D57D09D}" xr6:coauthVersionLast="47" xr6:coauthVersionMax="47" xr10:uidLastSave="{32046FB3-E957-441E-AF42-64A933C55DA5}"/>
  <bookViews>
    <workbookView xWindow="-108" yWindow="-108" windowWidth="23256" windowHeight="12456" xr2:uid="{00000000-000D-0000-FFFF-FFFF00000000}"/>
  </bookViews>
  <sheets>
    <sheet name="Projeto Aquece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B30" i="1"/>
  <c r="B34" i="1" s="1"/>
  <c r="B36" i="1" s="1"/>
  <c r="C40" i="1" s="1"/>
  <c r="B21" i="1"/>
  <c r="F12" i="1"/>
  <c r="F11" i="1"/>
  <c r="F10" i="1"/>
  <c r="F5" i="1"/>
  <c r="F4" i="1"/>
  <c r="F3" i="1"/>
  <c r="F13" i="1" l="1"/>
  <c r="F14" i="1" s="1"/>
  <c r="F6" i="1"/>
  <c r="F7" i="1" s="1"/>
  <c r="B22" i="1" s="1"/>
  <c r="B25" i="1" s="1"/>
  <c r="B27" i="1" s="1"/>
  <c r="F15" i="1" l="1"/>
  <c r="C39" i="1" s="1"/>
</calcChain>
</file>

<file path=xl/sharedStrings.xml><?xml version="1.0" encoding="utf-8"?>
<sst xmlns="http://schemas.openxmlformats.org/spreadsheetml/2006/main" count="85" uniqueCount="61">
  <si>
    <t>Aparelhos com AF e AQ</t>
  </si>
  <si>
    <t>Pressão (m.c.a)</t>
  </si>
  <si>
    <t>Quantidade</t>
  </si>
  <si>
    <t>Peso</t>
  </si>
  <si>
    <t>Peso total</t>
  </si>
  <si>
    <t>Chuveiro</t>
  </si>
  <si>
    <t>Lavatório</t>
  </si>
  <si>
    <t>Pia de cozinha</t>
  </si>
  <si>
    <t>Soma dos pesos</t>
  </si>
  <si>
    <t>Vazão total (l/min)</t>
  </si>
  <si>
    <t>Aparelhos só AF</t>
  </si>
  <si>
    <t>Tanque de lavar roupas</t>
  </si>
  <si>
    <t>Máquina de lavar roupas</t>
  </si>
  <si>
    <t>Vaso sanitário</t>
  </si>
  <si>
    <t>Vazão total AF+AQ (m³/h)</t>
  </si>
  <si>
    <t>Temperatura de uso e potência do aquecedor</t>
  </si>
  <si>
    <t>→ máx da norma é 45°C</t>
  </si>
  <si>
    <t>Temperatura AQ (TAQ)</t>
  </si>
  <si>
    <t>°C</t>
  </si>
  <si>
    <t>→ Temperatura média no mês mais frio do ano</t>
  </si>
  <si>
    <t>Temperatura AF (TAF)</t>
  </si>
  <si>
    <t>→ usual utilizar 40°C</t>
  </si>
  <si>
    <t>Temperatura uso (TAM)</t>
  </si>
  <si>
    <t>Proporção AQ/AF</t>
  </si>
  <si>
    <t>Vazão de AQ</t>
  </si>
  <si>
    <t>Números de chuveiros em simultâneo</t>
  </si>
  <si>
    <t>Potência calorífica</t>
  </si>
  <si>
    <t>kcal/min</t>
  </si>
  <si>
    <t>→ Ver no catálogo do fabricante (média de 80%)</t>
  </si>
  <si>
    <t>Rendimento</t>
  </si>
  <si>
    <t>%</t>
  </si>
  <si>
    <t>→ O aquecedor deve ter potência superior a este valor</t>
  </si>
  <si>
    <t>Potência do aquecedor</t>
  </si>
  <si>
    <t>→ Pressão mínima no ponto mais desfavorável</t>
  </si>
  <si>
    <t>→ Perda de carga na tubulação (calcula normal)</t>
  </si>
  <si>
    <t>Pressões</t>
  </si>
  <si>
    <t>→ Ver no catálogo do fabricante</t>
  </si>
  <si>
    <t>m.c.a.</t>
  </si>
  <si>
    <t>Perda de carga</t>
  </si>
  <si>
    <t>Perda de carga aquecedor</t>
  </si>
  <si>
    <t>Perda de carga medidor</t>
  </si>
  <si>
    <t>→ Se negativo, precisa pressurizar</t>
  </si>
  <si>
    <t>Pressão mínima de entrada no apto/casa</t>
  </si>
  <si>
    <t>Pressão dinâmica disp.</t>
  </si>
  <si>
    <t>Excedente ou falta de pressão</t>
  </si>
  <si>
    <t>Especificação final</t>
  </si>
  <si>
    <t>Pressurizador</t>
  </si>
  <si>
    <t>Vazão (Q)</t>
  </si>
  <si>
    <t>m³/h</t>
  </si>
  <si>
    <t>Altura man. (H)</t>
  </si>
  <si>
    <t>Potência (P)</t>
  </si>
  <si>
    <t>→ Verificar se faz sentido o métido das pesos, pois a ideia é compatibilizar com o real consumo do usuário.  Se não ajustar manualmente a vazão de AQ, pois pode atender mais chuveiros.</t>
  </si>
  <si>
    <t>→ Caso a perda de carga dê muito alta, é bom usar 2 ou mais aquecedores</t>
  </si>
  <si>
    <t>Pressão requerida mínima</t>
  </si>
  <si>
    <t>Aquecedor</t>
  </si>
  <si>
    <t>Qt. Chuveiros</t>
  </si>
  <si>
    <t>→ Valor real depois da especificação final</t>
  </si>
  <si>
    <t xml:space="preserve">→ Pressão disponível na tubulação de abastecimento (cálculo normal) </t>
  </si>
  <si>
    <t>Informações do Projeto</t>
  </si>
  <si>
    <t>L/min</t>
  </si>
  <si>
    <t>Vazão (L/min)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</si>
</sst>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vertical="center"/>
    </xf>
    <xf numFmtId="0" fontId="0" fillId="3" borderId="0" xfId="0" applyFill="1"/>
    <xf numFmtId="1" fontId="0" fillId="3" borderId="1" xfId="0" applyNumberForma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0" fillId="3" borderId="5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36" sqref="B36"/>
    </sheetView>
  </sheetViews>
  <sheetFormatPr defaultRowHeight="14.4" x14ac:dyDescent="0.3"/>
  <cols>
    <col min="1" max="1" width="40" style="4" bestFit="1" customWidth="1"/>
    <col min="2" max="6" width="13.77734375" style="4" customWidth="1"/>
    <col min="7" max="7" width="8.88671875" style="4" customWidth="1"/>
    <col min="8" max="16384" width="8.88671875" style="4"/>
  </cols>
  <sheetData>
    <row r="1" spans="1:6" ht="18" customHeight="1" x14ac:dyDescent="0.3">
      <c r="A1" s="21" t="s">
        <v>58</v>
      </c>
      <c r="B1" s="22"/>
      <c r="C1" s="22"/>
      <c r="D1" s="22"/>
      <c r="E1" s="22"/>
      <c r="F1" s="22"/>
    </row>
    <row r="2" spans="1:6" x14ac:dyDescent="0.3">
      <c r="A2" s="5" t="s">
        <v>0</v>
      </c>
      <c r="B2" s="5" t="s">
        <v>60</v>
      </c>
      <c r="C2" s="5" t="s">
        <v>1</v>
      </c>
      <c r="D2" s="5" t="s">
        <v>2</v>
      </c>
      <c r="E2" s="5" t="s">
        <v>3</v>
      </c>
      <c r="F2" s="5" t="s">
        <v>4</v>
      </c>
    </row>
    <row r="3" spans="1:6" x14ac:dyDescent="0.3">
      <c r="A3" s="6" t="s">
        <v>5</v>
      </c>
      <c r="B3" s="1">
        <v>12</v>
      </c>
      <c r="C3" s="1">
        <v>4</v>
      </c>
      <c r="D3" s="1">
        <v>5</v>
      </c>
      <c r="E3" s="1">
        <v>0.4</v>
      </c>
      <c r="F3" s="7">
        <f>D3*E3</f>
        <v>2</v>
      </c>
    </row>
    <row r="4" spans="1:6" x14ac:dyDescent="0.3">
      <c r="A4" s="6" t="s">
        <v>6</v>
      </c>
      <c r="B4" s="1">
        <v>8</v>
      </c>
      <c r="C4" s="1">
        <v>4</v>
      </c>
      <c r="D4" s="1">
        <v>5</v>
      </c>
      <c r="E4" s="1">
        <v>0.2</v>
      </c>
      <c r="F4" s="7">
        <f>D4*E4</f>
        <v>1</v>
      </c>
    </row>
    <row r="5" spans="1:6" x14ac:dyDescent="0.3">
      <c r="A5" s="6" t="s">
        <v>7</v>
      </c>
      <c r="B5" s="1">
        <v>8</v>
      </c>
      <c r="C5" s="1">
        <v>4</v>
      </c>
      <c r="D5" s="1">
        <v>2</v>
      </c>
      <c r="E5" s="1">
        <v>0.2</v>
      </c>
      <c r="F5" s="7">
        <f>D5*E5</f>
        <v>0.4</v>
      </c>
    </row>
    <row r="6" spans="1:6" x14ac:dyDescent="0.3">
      <c r="A6" s="12" t="s">
        <v>8</v>
      </c>
      <c r="B6" s="13"/>
      <c r="C6" s="13"/>
      <c r="D6" s="13"/>
      <c r="E6" s="14"/>
      <c r="F6" s="7">
        <f>SUM(F3:F5)</f>
        <v>3.4</v>
      </c>
    </row>
    <row r="7" spans="1:6" x14ac:dyDescent="0.3">
      <c r="A7" s="12" t="s">
        <v>9</v>
      </c>
      <c r="B7" s="13"/>
      <c r="C7" s="13"/>
      <c r="D7" s="13"/>
      <c r="E7" s="14"/>
      <c r="F7" s="8">
        <f>ROUND(60*(0.3*F6^0.5),1)</f>
        <v>33.200000000000003</v>
      </c>
    </row>
    <row r="8" spans="1:6" x14ac:dyDescent="0.3">
      <c r="A8" s="6"/>
      <c r="B8" s="6"/>
      <c r="C8" s="6"/>
      <c r="D8" s="6"/>
      <c r="E8" s="6"/>
      <c r="F8" s="6"/>
    </row>
    <row r="9" spans="1:6" x14ac:dyDescent="0.3">
      <c r="A9" s="5" t="s">
        <v>10</v>
      </c>
      <c r="B9" s="5" t="s">
        <v>60</v>
      </c>
      <c r="C9" s="5" t="s">
        <v>1</v>
      </c>
      <c r="D9" s="5" t="s">
        <v>2</v>
      </c>
      <c r="E9" s="5" t="s">
        <v>3</v>
      </c>
      <c r="F9" s="5" t="s">
        <v>4</v>
      </c>
    </row>
    <row r="10" spans="1:6" x14ac:dyDescent="0.3">
      <c r="A10" s="6" t="s">
        <v>11</v>
      </c>
      <c r="B10" s="1">
        <v>15</v>
      </c>
      <c r="C10" s="1">
        <v>2</v>
      </c>
      <c r="D10" s="1">
        <v>1</v>
      </c>
      <c r="E10" s="1">
        <v>0.7</v>
      </c>
      <c r="F10" s="6">
        <f>D10*E10</f>
        <v>0.7</v>
      </c>
    </row>
    <row r="11" spans="1:6" x14ac:dyDescent="0.3">
      <c r="A11" s="6" t="s">
        <v>12</v>
      </c>
      <c r="B11" s="1">
        <v>15</v>
      </c>
      <c r="C11" s="1">
        <v>2</v>
      </c>
      <c r="D11" s="1">
        <v>1</v>
      </c>
      <c r="E11" s="1">
        <v>0.7</v>
      </c>
      <c r="F11" s="6">
        <f>D11*E11</f>
        <v>0.7</v>
      </c>
    </row>
    <row r="12" spans="1:6" x14ac:dyDescent="0.3">
      <c r="A12" s="6" t="s">
        <v>13</v>
      </c>
      <c r="B12" s="1">
        <v>8</v>
      </c>
      <c r="C12" s="1">
        <v>2</v>
      </c>
      <c r="D12" s="1">
        <v>5</v>
      </c>
      <c r="E12" s="1">
        <v>0.2</v>
      </c>
      <c r="F12" s="6">
        <f>D12*E12</f>
        <v>1</v>
      </c>
    </row>
    <row r="13" spans="1:6" x14ac:dyDescent="0.3">
      <c r="A13" s="12" t="s">
        <v>8</v>
      </c>
      <c r="B13" s="13"/>
      <c r="C13" s="13"/>
      <c r="D13" s="13"/>
      <c r="E13" s="14"/>
      <c r="F13" s="6">
        <f>SUM(F10:F12)</f>
        <v>2.4</v>
      </c>
    </row>
    <row r="14" spans="1:6" x14ac:dyDescent="0.3">
      <c r="A14" s="12" t="s">
        <v>9</v>
      </c>
      <c r="B14" s="13"/>
      <c r="C14" s="13"/>
      <c r="D14" s="13"/>
      <c r="E14" s="14"/>
      <c r="F14" s="9">
        <f>ROUND(60*(0.3*F13^0.5),1)</f>
        <v>27.9</v>
      </c>
    </row>
    <row r="15" spans="1:6" x14ac:dyDescent="0.3">
      <c r="A15" s="15" t="s">
        <v>14</v>
      </c>
      <c r="B15" s="15"/>
      <c r="C15" s="15"/>
      <c r="D15" s="15"/>
      <c r="E15" s="15"/>
      <c r="F15" s="6">
        <f>ROUND(60*(0.3*(F6+F13)^0.5)*0.06,1)</f>
        <v>2.6</v>
      </c>
    </row>
    <row r="17" spans="1:5" x14ac:dyDescent="0.3">
      <c r="A17" s="5" t="s">
        <v>15</v>
      </c>
      <c r="B17" s="6"/>
      <c r="C17" s="6"/>
      <c r="D17" s="6"/>
    </row>
    <row r="18" spans="1:5" x14ac:dyDescent="0.3">
      <c r="A18" s="6" t="s">
        <v>17</v>
      </c>
      <c r="B18" s="1">
        <v>45</v>
      </c>
      <c r="C18" s="6" t="s">
        <v>18</v>
      </c>
      <c r="D18" s="6"/>
      <c r="E18" s="10" t="s">
        <v>16</v>
      </c>
    </row>
    <row r="19" spans="1:5" x14ac:dyDescent="0.3">
      <c r="A19" s="6" t="s">
        <v>20</v>
      </c>
      <c r="B19" s="1">
        <v>20</v>
      </c>
      <c r="C19" s="6" t="s">
        <v>18</v>
      </c>
      <c r="D19" s="6"/>
      <c r="E19" s="10" t="s">
        <v>19</v>
      </c>
    </row>
    <row r="20" spans="1:5" x14ac:dyDescent="0.3">
      <c r="A20" s="6" t="s">
        <v>22</v>
      </c>
      <c r="B20" s="1">
        <v>40</v>
      </c>
      <c r="C20" s="6" t="s">
        <v>18</v>
      </c>
      <c r="D20" s="6"/>
      <c r="E20" s="10" t="s">
        <v>21</v>
      </c>
    </row>
    <row r="21" spans="1:5" x14ac:dyDescent="0.3">
      <c r="A21" s="6" t="s">
        <v>23</v>
      </c>
      <c r="B21" s="2">
        <f>1-(B18-B20)/(B18-B19)</f>
        <v>0.8</v>
      </c>
      <c r="C21" s="6"/>
      <c r="D21" s="6"/>
    </row>
    <row r="22" spans="1:5" x14ac:dyDescent="0.3">
      <c r="A22" s="6" t="s">
        <v>24</v>
      </c>
      <c r="B22" s="7">
        <f>F7*B21</f>
        <v>26.560000000000002</v>
      </c>
      <c r="C22" s="6" t="s">
        <v>59</v>
      </c>
      <c r="D22" s="6"/>
    </row>
    <row r="23" spans="1:5" x14ac:dyDescent="0.3">
      <c r="A23" s="6"/>
      <c r="B23" s="6"/>
      <c r="C23" s="6"/>
      <c r="D23" s="6"/>
    </row>
    <row r="24" spans="1:5" x14ac:dyDescent="0.3">
      <c r="A24" s="5" t="s">
        <v>25</v>
      </c>
      <c r="B24" s="7">
        <v>2.8</v>
      </c>
      <c r="C24" s="6"/>
      <c r="D24" s="6"/>
      <c r="E24" s="4" t="s">
        <v>51</v>
      </c>
    </row>
    <row r="25" spans="1:5" x14ac:dyDescent="0.3">
      <c r="A25" s="6" t="s">
        <v>26</v>
      </c>
      <c r="B25" s="11">
        <f>B22*(B18-B19)</f>
        <v>664</v>
      </c>
      <c r="C25" s="6" t="s">
        <v>27</v>
      </c>
      <c r="D25" s="6"/>
    </row>
    <row r="26" spans="1:5" x14ac:dyDescent="0.3">
      <c r="A26" s="6" t="s">
        <v>29</v>
      </c>
      <c r="B26" s="3">
        <v>0.8</v>
      </c>
      <c r="C26" s="6" t="s">
        <v>30</v>
      </c>
      <c r="D26" s="6"/>
      <c r="E26" s="10" t="s">
        <v>28</v>
      </c>
    </row>
    <row r="27" spans="1:5" x14ac:dyDescent="0.3">
      <c r="A27" s="6" t="s">
        <v>32</v>
      </c>
      <c r="B27" s="11">
        <f>B25/B26</f>
        <v>830</v>
      </c>
      <c r="C27" s="6" t="s">
        <v>27</v>
      </c>
      <c r="D27" s="6"/>
      <c r="E27" s="10" t="s">
        <v>31</v>
      </c>
    </row>
    <row r="28" spans="1:5" x14ac:dyDescent="0.3">
      <c r="A28" s="6"/>
      <c r="B28" s="6"/>
      <c r="C28" s="6"/>
      <c r="D28" s="6"/>
    </row>
    <row r="29" spans="1:5" x14ac:dyDescent="0.3">
      <c r="A29" s="5" t="s">
        <v>35</v>
      </c>
      <c r="B29" s="6"/>
      <c r="C29" s="6"/>
      <c r="D29" s="6"/>
    </row>
    <row r="30" spans="1:5" x14ac:dyDescent="0.3">
      <c r="A30" s="6" t="s">
        <v>53</v>
      </c>
      <c r="B30" s="7">
        <f>MAX(C3:C5)</f>
        <v>4</v>
      </c>
      <c r="C30" s="6" t="s">
        <v>37</v>
      </c>
      <c r="D30" s="6"/>
      <c r="E30" s="10" t="s">
        <v>33</v>
      </c>
    </row>
    <row r="31" spans="1:5" x14ac:dyDescent="0.3">
      <c r="A31" s="6" t="s">
        <v>38</v>
      </c>
      <c r="B31" s="1">
        <v>5</v>
      </c>
      <c r="C31" s="6" t="s">
        <v>37</v>
      </c>
      <c r="D31" s="6"/>
      <c r="E31" s="10" t="s">
        <v>34</v>
      </c>
    </row>
    <row r="32" spans="1:5" x14ac:dyDescent="0.3">
      <c r="A32" s="6" t="s">
        <v>39</v>
      </c>
      <c r="B32" s="1">
        <v>6</v>
      </c>
      <c r="C32" s="6" t="s">
        <v>37</v>
      </c>
      <c r="D32" s="6"/>
      <c r="E32" s="10" t="s">
        <v>36</v>
      </c>
    </row>
    <row r="33" spans="1:5" x14ac:dyDescent="0.3">
      <c r="A33" s="6" t="s">
        <v>40</v>
      </c>
      <c r="B33" s="1">
        <v>2</v>
      </c>
      <c r="C33" s="6" t="s">
        <v>37</v>
      </c>
      <c r="D33" s="6"/>
      <c r="E33" s="10" t="s">
        <v>36</v>
      </c>
    </row>
    <row r="34" spans="1:5" x14ac:dyDescent="0.3">
      <c r="A34" s="6" t="s">
        <v>42</v>
      </c>
      <c r="B34" s="7">
        <f>B30+B31+B32+B33</f>
        <v>17</v>
      </c>
      <c r="C34" s="6" t="s">
        <v>37</v>
      </c>
      <c r="D34" s="6"/>
    </row>
    <row r="35" spans="1:5" x14ac:dyDescent="0.3">
      <c r="A35" s="6" t="s">
        <v>43</v>
      </c>
      <c r="B35" s="1">
        <v>5</v>
      </c>
      <c r="C35" s="6" t="s">
        <v>37</v>
      </c>
      <c r="D35" s="6"/>
      <c r="E35" s="10" t="s">
        <v>57</v>
      </c>
    </row>
    <row r="36" spans="1:5" x14ac:dyDescent="0.3">
      <c r="A36" s="6" t="s">
        <v>44</v>
      </c>
      <c r="B36" s="7">
        <f>B35-B34</f>
        <v>-12</v>
      </c>
      <c r="C36" s="6" t="s">
        <v>37</v>
      </c>
      <c r="D36" s="6"/>
      <c r="E36" s="10" t="s">
        <v>41</v>
      </c>
    </row>
    <row r="37" spans="1:5" x14ac:dyDescent="0.3">
      <c r="A37" s="6"/>
      <c r="B37" s="6"/>
      <c r="C37" s="6"/>
      <c r="D37" s="6"/>
    </row>
    <row r="38" spans="1:5" x14ac:dyDescent="0.3">
      <c r="A38" s="5" t="s">
        <v>45</v>
      </c>
      <c r="B38" s="6"/>
      <c r="C38" s="6"/>
      <c r="D38" s="6"/>
    </row>
    <row r="39" spans="1:5" x14ac:dyDescent="0.3">
      <c r="A39" s="16" t="s">
        <v>46</v>
      </c>
      <c r="B39" s="6" t="s">
        <v>47</v>
      </c>
      <c r="C39" s="7">
        <f>F15</f>
        <v>2.6</v>
      </c>
      <c r="D39" s="6" t="s">
        <v>48</v>
      </c>
    </row>
    <row r="40" spans="1:5" x14ac:dyDescent="0.3">
      <c r="A40" s="17"/>
      <c r="B40" s="6" t="s">
        <v>49</v>
      </c>
      <c r="C40" s="7">
        <f>IF(B36&gt;0,0,B36*-1)</f>
        <v>12</v>
      </c>
      <c r="D40" s="6" t="s">
        <v>37</v>
      </c>
    </row>
    <row r="41" spans="1:5" x14ac:dyDescent="0.3">
      <c r="A41" s="18" t="s">
        <v>54</v>
      </c>
      <c r="B41" s="6" t="s">
        <v>2</v>
      </c>
      <c r="C41" s="1">
        <v>2</v>
      </c>
      <c r="D41" s="6"/>
      <c r="E41" s="10" t="s">
        <v>52</v>
      </c>
    </row>
    <row r="42" spans="1:5" x14ac:dyDescent="0.3">
      <c r="A42" s="19"/>
      <c r="B42" s="6" t="s">
        <v>47</v>
      </c>
      <c r="C42" s="1">
        <v>21</v>
      </c>
      <c r="D42" s="6" t="s">
        <v>59</v>
      </c>
      <c r="E42" s="10" t="s">
        <v>36</v>
      </c>
    </row>
    <row r="43" spans="1:5" x14ac:dyDescent="0.3">
      <c r="A43" s="19"/>
      <c r="B43" s="6" t="s">
        <v>50</v>
      </c>
      <c r="C43" s="1">
        <v>483</v>
      </c>
      <c r="D43" s="6" t="s">
        <v>27</v>
      </c>
      <c r="E43" s="10" t="s">
        <v>36</v>
      </c>
    </row>
    <row r="44" spans="1:5" x14ac:dyDescent="0.3">
      <c r="A44" s="20"/>
      <c r="B44" s="6" t="s">
        <v>55</v>
      </c>
      <c r="C44" s="7">
        <f>C43*C41/(B18-B19)/B3</f>
        <v>3.22</v>
      </c>
      <c r="D44" s="6"/>
      <c r="E44" s="10" t="s">
        <v>56</v>
      </c>
    </row>
  </sheetData>
  <mergeCells count="8">
    <mergeCell ref="A14:E14"/>
    <mergeCell ref="A15:E15"/>
    <mergeCell ref="A39:A40"/>
    <mergeCell ref="A41:A44"/>
    <mergeCell ref="A1:F1"/>
    <mergeCell ref="A6:E6"/>
    <mergeCell ref="A7:E7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Projeto Aquecedor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Saul Quadros</cp:lastModifiedBy>
  <dcterms:created xsi:type="dcterms:W3CDTF">2025-11-06T15:04:57Z</dcterms:created>
  <dcterms:modified xsi:type="dcterms:W3CDTF">2025-11-10T13:02:51Z</dcterms:modified>
</cp:coreProperties>
</file>